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Dataset\Intento2\reportes\resultados_metricas_20260607\"/>
    </mc:Choice>
  </mc:AlternateContent>
  <xr:revisionPtr revIDLastSave="0" documentId="13_ncr:1_{5607088E-C196-496B-A7EC-EE075D581E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a_3_9" sheetId="1" r:id="rId1"/>
    <sheet name="Tabla_3_10_measured" sheetId="2" r:id="rId2"/>
    <sheet name="Tabla_3_10_simulated" sheetId="3" r:id="rId3"/>
  </sheets>
  <definedNames>
    <definedName name="_xlchart.v2.0" hidden="1">Tabla_3_9!$A$2:$A$6</definedName>
    <definedName name="_xlchart.v2.1" hidden="1">Tabla_3_9!$B$1</definedName>
    <definedName name="_xlchart.v2.2" hidden="1">Tabla_3_9!$B$2:$B$6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<sst xmlns="http://schemas.openxmlformats.org/spreadsheetml/2006/main" count="47" uniqueCount="39">
  <si>
    <t>Stage</t>
  </si>
  <si>
    <t>det_latency_ms_mean</t>
  </si>
  <si>
    <t>det_latency_ms_p95</t>
  </si>
  <si>
    <t>ocr_latency_ms_mean</t>
  </si>
  <si>
    <t>ocr_latency_ms_p95</t>
  </si>
  <si>
    <t>total_latency_ms_mean</t>
  </si>
  <si>
    <t>total_latency_ms_p95</t>
  </si>
  <si>
    <t>preset</t>
  </si>
  <si>
    <t>det_latency_ms_mean_sim</t>
  </si>
  <si>
    <t>ocr_latency_ms_mean_sim</t>
  </si>
  <si>
    <t>total_latency_ms_mean_sim</t>
  </si>
  <si>
    <t>fps_sim</t>
  </si>
  <si>
    <t>recomputer_j1010</t>
  </si>
  <si>
    <t>Fotogramas Evaluados</t>
  </si>
  <si>
    <t>Detectados</t>
  </si>
  <si>
    <t>OCR generado</t>
  </si>
  <si>
    <t>Formato Válido</t>
  </si>
  <si>
    <t>Lectura correcta</t>
  </si>
  <si>
    <t>Errores</t>
  </si>
  <si>
    <t>% de Error</t>
  </si>
  <si>
    <t>Entradas</t>
  </si>
  <si>
    <t>Métrica</t>
  </si>
  <si>
    <t>Módulo de Detección</t>
  </si>
  <si>
    <t>Módulo OCR</t>
  </si>
  <si>
    <t>Pipeline Completo</t>
  </si>
  <si>
    <t>Latencia promedio</t>
  </si>
  <si>
    <t>30.866 ms</t>
  </si>
  <si>
    <t>923.477 ms</t>
  </si>
  <si>
    <t>1309.67 ms</t>
  </si>
  <si>
    <t>Latencia p95</t>
  </si>
  <si>
    <t>62.491 ms</t>
  </si>
  <si>
    <t>1115.44 ms</t>
  </si>
  <si>
    <t>618.567 ms</t>
  </si>
  <si>
    <t>FPS promedio</t>
  </si>
  <si>
    <t>8.00 fps</t>
  </si>
  <si>
    <t>5.15 fps</t>
  </si>
  <si>
    <t>7.645 fps</t>
  </si>
  <si>
    <t>Uso promedio de CPU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</si>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</sst>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C"/>
              <a:t>Errores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Tabla_3_9!$B$1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Tabla_3_9!$A$2:$A$6</c:f>
              <c:strCache>
                <c:ptCount val="5"/>
                <c:pt idx="0">
                  <c:v>Fotogramas Evaluados</c:v>
                </c:pt>
                <c:pt idx="1">
                  <c:v>Detectados</c:v>
                </c:pt>
                <c:pt idx="2">
                  <c:v>OCR generado</c:v>
                </c:pt>
                <c:pt idx="3">
                  <c:v>Formato Válido</c:v>
                </c:pt>
                <c:pt idx="4">
                  <c:v>Lectura correcta</c:v>
                </c:pt>
              </c:strCache>
            </c:strRef>
          </c:cat>
          <c:val>
            <c:numRef>
              <c:f>Tabla_3_9!$B$2:$B$6</c:f>
              <c:numCache>
                <c:formatCode>General</c:formatCode>
                <c:ptCount val="5"/>
                <c:pt idx="0">
                  <c:v>1890</c:v>
                </c:pt>
                <c:pt idx="1">
                  <c:v>1791</c:v>
                </c:pt>
                <c:pt idx="2">
                  <c:v>1733</c:v>
                </c:pt>
                <c:pt idx="3">
                  <c:v>1727</c:v>
                </c:pt>
                <c:pt idx="4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6-4BEC-83A7-39B56572FD2F}"/>
            </c:ext>
          </c:extLst>
        </c:ser>
        <c:ser>
          <c:idx val="1"/>
          <c:order val="1"/>
          <c:tx>
            <c:strRef>
              <c:f>Tabla_3_9!$C$1</c:f>
              <c:strCache>
                <c:ptCount val="1"/>
                <c:pt idx="0">
                  <c:v>Errores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Tabla_3_9!$A$2:$A$6</c:f>
              <c:strCache>
                <c:ptCount val="5"/>
                <c:pt idx="0">
                  <c:v>Fotogramas Evaluados</c:v>
                </c:pt>
                <c:pt idx="1">
                  <c:v>Detectados</c:v>
                </c:pt>
                <c:pt idx="2">
                  <c:v>OCR generado</c:v>
                </c:pt>
                <c:pt idx="3">
                  <c:v>Formato Válido</c:v>
                </c:pt>
                <c:pt idx="4">
                  <c:v>Lectura correcta</c:v>
                </c:pt>
              </c:strCache>
            </c:strRef>
          </c:cat>
          <c:val>
            <c:numRef>
              <c:f>Tabla_3_9!$C$2:$C$6</c:f>
              <c:numCache>
                <c:formatCode>General</c:formatCode>
                <c:ptCount val="5"/>
                <c:pt idx="0">
                  <c:v>0</c:v>
                </c:pt>
                <c:pt idx="1">
                  <c:v>99</c:v>
                </c:pt>
                <c:pt idx="2">
                  <c:v>157</c:v>
                </c:pt>
                <c:pt idx="3">
                  <c:v>163</c:v>
                </c:pt>
                <c:pt idx="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6-4BEC-83A7-39B56572FD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227266191"/>
        <c:axId val="1227257071"/>
      </c:barChart>
      <c:catAx>
        <c:axId val="12272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27257071"/>
        <c:crosses val="autoZero"/>
        <c:auto val="1"/>
        <c:lblAlgn val="ctr"/>
        <c:lblOffset val="100"/>
        <c:noMultiLvlLbl val="0"/>
      </c:catAx>
      <c:valAx>
        <c:axId val="122725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2726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Latencia</a:t>
            </a:r>
            <a:r>
              <a:rPr lang="es-EC" baseline="0"/>
              <a:t> total de evaluación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Tabla_3_10_simulated!$B$13</c:f>
              <c:strCache>
                <c:ptCount val="1"/>
                <c:pt idx="0">
                  <c:v>Latencia promedio</c:v>
                </c:pt>
              </c:strCache>
            </c:strRef>
          </c:tx>
          <c:spPr>
            <a:solidFill>
              <a:schemeClr val="accent6">
                <a:alpha val="74000"/>
              </a:schemeClr>
            </a:solidFill>
            <a:ln>
              <a:noFill/>
            </a:ln>
            <a:effectLst>
              <a:innerShdw blurRad="114300">
                <a:schemeClr val="accent6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Tabla_3_10_simulated!$A$14:$A$16</c:f>
              <c:strCache>
                <c:ptCount val="3"/>
                <c:pt idx="0">
                  <c:v>Módulo de Detección</c:v>
                </c:pt>
                <c:pt idx="1">
                  <c:v>Módulo OCR</c:v>
                </c:pt>
                <c:pt idx="2">
                  <c:v>Pipeline Completo</c:v>
                </c:pt>
              </c:strCache>
            </c:strRef>
          </c:cat>
          <c:val>
            <c:numRef>
              <c:f>Tabla_3_10_simulated!$B$14:$B$16</c:f>
              <c:numCache>
                <c:formatCode>0.00</c:formatCode>
                <c:ptCount val="3"/>
                <c:pt idx="0">
                  <c:v>30.866</c:v>
                </c:pt>
                <c:pt idx="1">
                  <c:v>923.47699999999998</c:v>
                </c:pt>
                <c:pt idx="2">
                  <c:v>1309.67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A-470D-B22D-243D6D8473BF}"/>
            </c:ext>
          </c:extLst>
        </c:ser>
        <c:ser>
          <c:idx val="1"/>
          <c:order val="1"/>
          <c:tx>
            <c:strRef>
              <c:f>Tabla_3_10_simulated!$C$13</c:f>
              <c:strCache>
                <c:ptCount val="1"/>
                <c:pt idx="0">
                  <c:v>Latencia p95</c:v>
                </c:pt>
              </c:strCache>
            </c:strRef>
          </c:tx>
          <c:spPr>
            <a:solidFill>
              <a:schemeClr val="accent5">
                <a:alpha val="74000"/>
              </a:schemeClr>
            </a:solidFill>
            <a:ln>
              <a:noFill/>
            </a:ln>
            <a:effectLst>
              <a:innerShdw blurRad="114300">
                <a:schemeClr val="accent5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Tabla_3_10_simulated!$A$14:$A$16</c:f>
              <c:strCache>
                <c:ptCount val="3"/>
                <c:pt idx="0">
                  <c:v>Módulo de Detección</c:v>
                </c:pt>
                <c:pt idx="1">
                  <c:v>Módulo OCR</c:v>
                </c:pt>
                <c:pt idx="2">
                  <c:v>Pipeline Completo</c:v>
                </c:pt>
              </c:strCache>
            </c:strRef>
          </c:cat>
          <c:val>
            <c:numRef>
              <c:f>Tabla_3_10_simulated!$C$14:$C$16</c:f>
              <c:numCache>
                <c:formatCode>0.00</c:formatCode>
                <c:ptCount val="3"/>
                <c:pt idx="0">
                  <c:v>62.491</c:v>
                </c:pt>
                <c:pt idx="1">
                  <c:v>1115.44</c:v>
                </c:pt>
                <c:pt idx="2">
                  <c:v>618.56700000000001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0A-470D-B22D-243D6D8473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38628064"/>
        <c:axId val="1638631904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Tabla_3_10_simulated!$D$13</c15:sqref>
                        </c15:formulaRef>
                      </c:ext>
                    </c:extLst>
                    <c:strCache>
                      <c:ptCount val="1"/>
                      <c:pt idx="0">
                        <c:v>FPS promedio</c:v>
                      </c:pt>
                    </c:strCache>
                  </c:strRef>
                </c:tx>
                <c:spPr>
                  <a:solidFill>
                    <a:schemeClr val="accent4">
                      <a:alpha val="74000"/>
                    </a:schemeClr>
                  </a:solidFill>
                  <a:ln>
                    <a:noFill/>
                  </a:ln>
                  <a:effectLst>
                    <a:innerShdw blurRad="114300">
                      <a:schemeClr val="accent4">
                        <a:lumMod val="75000"/>
                      </a:schemeClr>
                    </a:innerShdw>
                  </a:effectLst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accent4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C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Tabla_3_10_simulated!$A$14:$A$16</c15:sqref>
                        </c15:formulaRef>
                      </c:ext>
                    </c:extLst>
                    <c:strCache>
                      <c:ptCount val="3"/>
                      <c:pt idx="0">
                        <c:v>Módulo de Detección</c:v>
                      </c:pt>
                      <c:pt idx="1">
                        <c:v>Módulo OCR</c:v>
                      </c:pt>
                      <c:pt idx="2">
                        <c:v>Pipeline Completo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Tabla_3_10_simulated!$D$14:$D$16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8</c:v>
                      </c:pt>
                      <c:pt idx="1">
                        <c:v>5.15</c:v>
                      </c:pt>
                      <c:pt idx="2">
                        <c:v>7.6449999999999996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80A-470D-B22D-243D6D8473BF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Tabla_3_10_simulated!$E$13</c15:sqref>
                        </c15:formulaRef>
                      </c:ext>
                    </c:extLst>
                    <c:strCache>
                      <c:ptCount val="1"/>
                      <c:pt idx="0">
                        <c:v>Uso promedio de CPU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alpha val="74000"/>
                    </a:schemeClr>
                  </a:solidFill>
                  <a:ln>
                    <a:noFill/>
                  </a:ln>
                  <a:effectLst>
                    <a:innerShdw blurRad="114300">
                      <a:schemeClr val="accent6">
                        <a:lumMod val="60000"/>
                        <a:lumMod val="75000"/>
                      </a:schemeClr>
                    </a:innerShdw>
                  </a:effectLst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accent6">
                              <a:lumMod val="60000"/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C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Tabla_3_10_simulated!$A$14:$A$16</c15:sqref>
                        </c15:formulaRef>
                      </c:ext>
                    </c:extLst>
                    <c:strCache>
                      <c:ptCount val="3"/>
                      <c:pt idx="0">
                        <c:v>Módulo de Detección</c:v>
                      </c:pt>
                      <c:pt idx="1">
                        <c:v>Módulo OCR</c:v>
                      </c:pt>
                      <c:pt idx="2">
                        <c:v>Pipeline Completo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Tabla_3_10_simulated!$E$14:$E$16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0.18264</c:v>
                      </c:pt>
                      <c:pt idx="1">
                        <c:v>0.18876000000000001</c:v>
                      </c:pt>
                      <c:pt idx="2">
                        <c:v>0.57742000000000004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80A-470D-B22D-243D6D8473BF}"/>
                  </c:ext>
                </c:extLst>
              </c15:ser>
            </c15:filteredAreaSeries>
          </c:ext>
        </c:extLst>
      </c:areaChart>
      <c:catAx>
        <c:axId val="163862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Etapa</a:t>
                </a:r>
              </a:p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38631904"/>
        <c:crosses val="autoZero"/>
        <c:auto val="1"/>
        <c:lblAlgn val="ctr"/>
        <c:lblOffset val="100"/>
        <c:noMultiLvlLbl val="0"/>
      </c:catAx>
      <c:valAx>
        <c:axId val="163863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Latencia promedio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3862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Reducción de fotogramas por etapa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chemeClr val="tx1"/>
              </a:solidFill>
              <a:latin typeface="Calibri"/>
            </a:rPr>
            <a:t>Reducción de fotogramas por etapa</a:t>
          </a:r>
        </a:p>
      </cx:txPr>
    </cx:title>
    <cx:plotArea>
      <cx:plotAreaRegion>
        <cx:series layoutId="funnel" uniqueId="{00000000-D96C-47BF-A9F6-58B4EAEC0C98}">
          <cx:tx>
            <cx:txData>
              <cx:f>_xlchart.v2.1</cx:f>
              <cx:v>Entradas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120015</xdr:colOff>
      <xdr:row>3</xdr:row>
      <xdr:rowOff>39052</xdr:rowOff>
    </xdr:from>
    <xdr:to>
      <xdr:col>12</xdr:col>
      <xdr:colOff>424815</xdr:colOff>
      <xdr:row>18</xdr:row>
      <xdr:rowOff>75247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34449CA-A035-3850-D8C4-4B2C18B6E6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8555" y="587692"/>
              <a:ext cx="4572000" cy="2779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102870</xdr:colOff>
      <xdr:row>19</xdr:row>
      <xdr:rowOff>126682</xdr:rowOff>
    </xdr:from>
    <xdr:to>
      <xdr:col>12</xdr:col>
      <xdr:colOff>401955</xdr:colOff>
      <xdr:row>34</xdr:row>
      <xdr:rowOff>162877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10F49A-DB17-F339-2193-32F5F4CBE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746760</xdr:colOff>
      <xdr:row>18</xdr:row>
      <xdr:rowOff>179070</xdr:rowOff>
    </xdr:from>
    <xdr:to>
      <xdr:col>6</xdr:col>
      <xdr:colOff>342900</xdr:colOff>
      <xdr:row>37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9A466B-89B3-08DB-9E2C-C65E4A1FF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opLeftCell="A19" workbookViewId="0">
      <selection activeCell="P45" sqref="P45"/>
    </sheetView>
  </sheetViews>
  <sheetFormatPr baseColWidth="10" defaultColWidth="8.88671875" defaultRowHeight="14.4" x14ac:dyDescent="0.3"/>
  <cols>
    <col min="1" max="1" width="16.33203125" bestFit="1" customWidth="1"/>
  </cols>
  <sheetData>
    <row r="1" spans="1:4" x14ac:dyDescent="0.3">
      <c r="A1" s="1" t="s">
        <v>0</v>
      </c>
      <c r="B1" s="1" t="s">
        <v>20</v>
      </c>
      <c r="C1" t="s">
        <v>18</v>
      </c>
      <c r="D1" t="s">
        <v>19</v>
      </c>
    </row>
    <row r="2" spans="1:4" x14ac:dyDescent="0.3">
      <c r="A2" t="s">
        <v>13</v>
      </c>
      <c r="B2">
        <v>1890</v>
      </c>
      <c r="C2">
        <f>1890-B2</f>
        <v>0</v>
      </c>
      <c r="D2" s="2">
        <f>C2/B2</f>
        <v>0</v>
      </c>
    </row>
    <row r="3" spans="1:4" x14ac:dyDescent="0.3">
      <c r="A3" t="s">
        <v>14</v>
      </c>
      <c r="B3">
        <v>1791</v>
      </c>
      <c r="C3">
        <f t="shared" ref="C3:C6" si="0">1890-B3</f>
        <v>99</v>
      </c>
      <c r="D3" s="2">
        <f t="shared" ref="D3:D6" si="1">C3/B3</f>
        <v>5.5276381909547742E-2</v>
      </c>
    </row>
    <row r="4" spans="1:4" x14ac:dyDescent="0.3">
      <c r="A4" t="s">
        <v>15</v>
      </c>
      <c r="B4">
        <v>1733</v>
      </c>
      <c r="C4">
        <f t="shared" si="0"/>
        <v>157</v>
      </c>
      <c r="D4" s="2">
        <f t="shared" si="1"/>
        <v>9.0594345066358911E-2</v>
      </c>
    </row>
    <row r="5" spans="1:4" x14ac:dyDescent="0.3">
      <c r="A5" t="s">
        <v>16</v>
      </c>
      <c r="B5">
        <v>1727</v>
      </c>
      <c r="C5">
        <f t="shared" si="0"/>
        <v>163</v>
      </c>
      <c r="D5" s="2">
        <f t="shared" si="1"/>
        <v>9.4383323682686746E-2</v>
      </c>
    </row>
    <row r="6" spans="1:4" x14ac:dyDescent="0.3">
      <c r="A6" t="s">
        <v>17</v>
      </c>
      <c r="B6">
        <v>1360</v>
      </c>
      <c r="C6">
        <f t="shared" si="0"/>
        <v>530</v>
      </c>
      <c r="D6" s="2">
        <f t="shared" si="1"/>
        <v>0.38970588235294118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11" sqref="D11"/>
    </sheetView>
  </sheetViews>
  <sheetFormatPr baseColWidth="10" defaultColWidth="8.88671875" defaultRowHeight="14.4" x14ac:dyDescent="0.3"/>
  <cols>
    <col min="1" max="1" width="20.6640625" bestFit="1" customWidth="1"/>
    <col min="2" max="2" width="18.77734375" bestFit="1" customWidth="1"/>
    <col min="3" max="3" width="20.21875" bestFit="1" customWidth="1"/>
    <col min="4" max="4" width="18.44140625" bestFit="1" customWidth="1"/>
    <col min="5" max="5" width="21.77734375" bestFit="1" customWidth="1"/>
    <col min="6" max="6" width="19.88671875" bestFit="1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30.96774054565952</v>
      </c>
      <c r="B2">
        <v>61.85674996231679</v>
      </c>
      <c r="C2">
        <v>854.9417342271546</v>
      </c>
      <c r="D2">
        <v>1102.624410088174</v>
      </c>
      <c r="E2">
        <v>885.90947477281406</v>
      </c>
      <c r="F2">
        <v>1164.4811600504911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topLeftCell="A8" workbookViewId="0">
      <selection activeCell="H15" sqref="H15"/>
    </sheetView>
  </sheetViews>
  <sheetFormatPr baseColWidth="10" defaultColWidth="8.88671875" defaultRowHeight="14.4" x14ac:dyDescent="0.3"/>
  <cols>
    <col min="1" max="1" width="18.5546875" bestFit="1" customWidth="1"/>
    <col min="2" max="2" width="24.6640625" bestFit="1" customWidth="1"/>
    <col min="3" max="3" width="24.44140625" bestFit="1" customWidth="1"/>
    <col min="4" max="4" width="26" bestFit="1" customWidth="1"/>
    <col min="5" max="5" width="19" bestFit="1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t="s">
        <v>12</v>
      </c>
      <c r="B2">
        <v>77.419351364148795</v>
      </c>
      <c r="C2">
        <v>4274.7086711357733</v>
      </c>
      <c r="D2">
        <v>4361.1280224999218</v>
      </c>
      <c r="E2">
        <v>0.22929847389042521</v>
      </c>
    </row>
    <row r="5" spans="1:5" ht="15" thickBot="1" x14ac:dyDescent="0.35"/>
    <row r="6" spans="1:5" ht="15" thickBot="1" x14ac:dyDescent="0.35">
      <c r="A6" s="3" t="s">
        <v>21</v>
      </c>
      <c r="B6" s="4" t="s">
        <v>22</v>
      </c>
      <c r="C6" s="4" t="s">
        <v>23</v>
      </c>
      <c r="D6" s="4" t="s">
        <v>24</v>
      </c>
    </row>
    <row r="7" spans="1:5" ht="28.2" thickBot="1" x14ac:dyDescent="0.35">
      <c r="A7" s="5" t="s">
        <v>25</v>
      </c>
      <c r="B7" s="6" t="s">
        <v>26</v>
      </c>
      <c r="C7" s="6" t="s">
        <v>27</v>
      </c>
      <c r="D7" s="6" t="s">
        <v>28</v>
      </c>
    </row>
    <row r="8" spans="1:5" ht="15" thickBot="1" x14ac:dyDescent="0.35">
      <c r="A8" s="5" t="s">
        <v>29</v>
      </c>
      <c r="B8" s="6" t="s">
        <v>30</v>
      </c>
      <c r="C8" s="6" t="s">
        <v>31</v>
      </c>
      <c r="D8" s="6" t="s">
        <v>32</v>
      </c>
    </row>
    <row r="9" spans="1:5" ht="15" thickBot="1" x14ac:dyDescent="0.35">
      <c r="A9" s="5" t="s">
        <v>33</v>
      </c>
      <c r="B9" s="6" t="s">
        <v>34</v>
      </c>
      <c r="C9" s="6" t="s">
        <v>35</v>
      </c>
      <c r="D9" s="6" t="s">
        <v>36</v>
      </c>
    </row>
    <row r="10" spans="1:5" ht="28.2" thickBot="1" x14ac:dyDescent="0.35">
      <c r="A10" s="5" t="s">
        <v>37</v>
      </c>
      <c r="B10" s="7">
        <v>0.18264</v>
      </c>
      <c r="C10" s="7">
        <v>0.18876000000000001</v>
      </c>
      <c r="D10" s="7">
        <v>0.57742000000000004</v>
      </c>
    </row>
    <row r="13" spans="1:5" x14ac:dyDescent="0.3">
      <c r="A13" t="s">
        <v>21</v>
      </c>
      <c r="B13" t="s">
        <v>25</v>
      </c>
      <c r="C13" t="s">
        <v>29</v>
      </c>
      <c r="D13" t="s">
        <v>33</v>
      </c>
      <c r="E13" t="s">
        <v>37</v>
      </c>
    </row>
    <row r="14" spans="1:5" x14ac:dyDescent="0.3">
      <c r="A14" t="s">
        <v>22</v>
      </c>
      <c r="B14" s="8">
        <v>30.866</v>
      </c>
      <c r="C14" s="8">
        <v>62.491</v>
      </c>
      <c r="D14" s="8">
        <v>8</v>
      </c>
      <c r="E14">
        <v>0.18264</v>
      </c>
    </row>
    <row r="15" spans="1:5" x14ac:dyDescent="0.3">
      <c r="A15" t="s">
        <v>23</v>
      </c>
      <c r="B15" s="8">
        <v>923.47699999999998</v>
      </c>
      <c r="C15" s="8">
        <v>1115.44</v>
      </c>
      <c r="D15" s="8">
        <v>5.15</v>
      </c>
      <c r="E15">
        <v>0.18876000000000001</v>
      </c>
    </row>
    <row r="16" spans="1:5" x14ac:dyDescent="0.3">
      <c r="A16" t="s">
        <v>24</v>
      </c>
      <c r="B16" s="8">
        <v>1309.67</v>
      </c>
      <c r="C16" s="8">
        <v>618.56700000000001</v>
      </c>
      <c r="D16" s="8">
        <v>7.6449999999999996</v>
      </c>
      <c r="E16">
        <v>0.57742000000000004</v>
      </c>
    </row>
    <row r="17" spans="1:2" x14ac:dyDescent="0.3">
      <c r="A17" t="s">
        <v>38</v>
      </c>
      <c r="B17" s="9">
        <f>SUM(B14:B16)</f>
        <v>2264.0129999999999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Tabla_3_9</vt:lpstr>
      <vt:lpstr>Tabla_3_10_measured</vt:lpstr>
      <vt:lpstr>Tabla_3_10_simulated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SEBASTIAN PILA VIZUETE</cp:lastModifiedBy>
  <dcterms:created xsi:type="dcterms:W3CDTF">2026-06-08T06:53:57Z</dcterms:created>
  <dcterms:modified xsi:type="dcterms:W3CDTF">2026-06-08T08:03:03Z</dcterms:modified>
</cp:coreProperties>
</file>